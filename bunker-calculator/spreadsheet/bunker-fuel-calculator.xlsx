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ank_Table" sheetId="2" state="visible" r:id="rId2"/>
    <sheet name="Calcula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BUNKER FUEL CALCULATOR — Instructions</t>
        </is>
      </c>
    </row>
    <row r="2">
      <c r="A2" t="inlineStr"/>
    </row>
    <row r="3">
      <c r="A3" t="inlineStr">
        <is>
          <t>1. Go to the 'Tank_Table' sheet and replace the sample values with your engine-room sounding table.</t>
        </is>
      </c>
    </row>
    <row r="4">
      <c r="A4" t="inlineStr">
        <is>
          <t xml:space="preserve">   • Row 1 (B1:F1): trim values in metres (by stern = positive).</t>
        </is>
      </c>
    </row>
    <row r="5">
      <c r="A5" t="inlineStr">
        <is>
          <t xml:space="preserve">   • Column A (A2:A12): sounding values in metres.</t>
        </is>
      </c>
    </row>
    <row r="6">
      <c r="A6" t="inlineStr">
        <is>
          <t xml:space="preserve">   • Grid cells: volume in m³ at each sounding/trim intersection.</t>
        </is>
      </c>
    </row>
    <row r="7">
      <c r="A7" t="inlineStr">
        <is>
          <t xml:space="preserve">   • Cell B14: list correction in m³ per degree (0 if not used).</t>
        </is>
      </c>
    </row>
    <row r="8">
      <c r="A8" t="inlineStr"/>
    </row>
    <row r="9">
      <c r="A9" t="inlineStr">
        <is>
          <t>2. Go to 'Calculator' sheet.</t>
        </is>
      </c>
    </row>
    <row r="10">
      <c r="A10" t="inlineStr">
        <is>
          <t xml:space="preserve">   • Enter ship trim (m), list (°), and density @ 15°C (kg/m³) in the yellow cells.</t>
        </is>
      </c>
    </row>
    <row r="11">
      <c r="A11" t="inlineStr">
        <is>
          <t xml:space="preserve">   • Enter each tank sounding (m) and observed temperature (°C).</t>
        </is>
      </c>
    </row>
    <row r="12">
      <c r="A12" t="inlineStr">
        <is>
          <t xml:space="preserve">   • Observed volume, VCF, standard volume @ 15°C, and mass (MT) calculate automatically.</t>
        </is>
      </c>
    </row>
    <row r="13">
      <c r="A13" t="inlineStr"/>
    </row>
    <row r="14">
      <c r="A14" t="inlineStr">
        <is>
          <t>3. Formulas used (same as Bunker Master / ASTM 54B):</t>
        </is>
      </c>
    </row>
    <row r="15">
      <c r="A15" t="inlineStr">
        <is>
          <t xml:space="preserve">   • Volume: bilinear interpolation from Tank_Table using sounding + trim, plus list correction.</t>
        </is>
      </c>
    </row>
    <row r="16">
      <c r="A16" t="inlineStr">
        <is>
          <t xml:space="preserve">   • VCF = EXP(-613.9723 / density² × (temp - 15))</t>
        </is>
      </c>
    </row>
    <row r="17">
      <c r="A17" t="inlineStr">
        <is>
          <t xml:space="preserve">   • Mass (MT) = standard volume × density @ 15°C / 1000</t>
        </is>
      </c>
    </row>
    <row r="18">
      <c r="A18" t="inlineStr"/>
    </row>
    <row r="19">
      <c r="A19" t="inlineStr">
        <is>
          <t>4. For additional tanks with different capacity tables, duplicate this file per tank</t>
        </is>
      </c>
    </row>
    <row r="20">
      <c r="A20" t="inlineStr">
        <is>
          <t xml:space="preserve">   or add extra table sheets and adjust the Calculator formulas.</t>
        </is>
      </c>
    </row>
    <row r="21">
      <c r="A21" t="inlineStr"/>
    </row>
    <row r="22">
      <c r="A22" t="inlineStr">
        <is>
          <t>Web app version: ../web/index.html (open in browser, import CSV tank table).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Sounding \ Trim (m)</t>
        </is>
      </c>
      <c r="B1" s="2" t="n">
        <v>0</v>
      </c>
      <c r="C1" s="2" t="n">
        <v>1</v>
      </c>
      <c r="D1" s="2" t="n">
        <v>2</v>
      </c>
      <c r="E1" s="2" t="n">
        <v>3</v>
      </c>
      <c r="F1" s="2" t="n">
        <v>4</v>
      </c>
    </row>
    <row r="2">
      <c r="A2" t="n">
        <v>6</v>
      </c>
      <c r="B2" t="n">
        <v>380.5</v>
      </c>
      <c r="C2" t="n">
        <v>378.2</v>
      </c>
      <c r="D2" t="n">
        <v>376</v>
      </c>
      <c r="E2" t="n">
        <v>373.8</v>
      </c>
      <c r="F2" t="n">
        <v>371.5</v>
      </c>
    </row>
    <row r="3">
      <c r="A3" t="n">
        <v>6.5</v>
      </c>
      <c r="B3" t="n">
        <v>395.2</v>
      </c>
      <c r="C3" t="n">
        <v>392.9</v>
      </c>
      <c r="D3" t="n">
        <v>390.7</v>
      </c>
      <c r="E3" t="n">
        <v>388.4</v>
      </c>
      <c r="F3" t="n">
        <v>386.2</v>
      </c>
    </row>
    <row r="4">
      <c r="A4" t="n">
        <v>7</v>
      </c>
      <c r="B4" t="n">
        <v>410</v>
      </c>
      <c r="C4" t="n">
        <v>407.7</v>
      </c>
      <c r="D4" t="n">
        <v>405.5</v>
      </c>
      <c r="E4" t="n">
        <v>403.2</v>
      </c>
      <c r="F4" t="n">
        <v>401</v>
      </c>
    </row>
    <row r="5">
      <c r="A5" t="n">
        <v>7.5</v>
      </c>
      <c r="B5" t="n">
        <v>424.8</v>
      </c>
      <c r="C5" t="n">
        <v>422.5</v>
      </c>
      <c r="D5" t="n">
        <v>420.3</v>
      </c>
      <c r="E5" t="n">
        <v>418</v>
      </c>
      <c r="F5" t="n">
        <v>415.8</v>
      </c>
    </row>
    <row r="6">
      <c r="A6" t="n">
        <v>8</v>
      </c>
      <c r="B6" t="n">
        <v>439.5</v>
      </c>
      <c r="C6" t="n">
        <v>437.2</v>
      </c>
      <c r="D6" t="n">
        <v>435</v>
      </c>
      <c r="E6" t="n">
        <v>432.7</v>
      </c>
      <c r="F6" t="n">
        <v>430.5</v>
      </c>
    </row>
    <row r="7">
      <c r="A7" t="n">
        <v>8.5</v>
      </c>
      <c r="B7" t="n">
        <v>454.3</v>
      </c>
      <c r="C7" t="n">
        <v>452</v>
      </c>
      <c r="D7" t="n">
        <v>449.8</v>
      </c>
      <c r="E7" t="n">
        <v>447.5</v>
      </c>
      <c r="F7" t="n">
        <v>445.3</v>
      </c>
    </row>
    <row r="8">
      <c r="A8" t="n">
        <v>9</v>
      </c>
      <c r="B8" t="n">
        <v>469</v>
      </c>
      <c r="C8" t="n">
        <v>466.7</v>
      </c>
      <c r="D8" t="n">
        <v>464.5</v>
      </c>
      <c r="E8" t="n">
        <v>462.2</v>
      </c>
      <c r="F8" t="n">
        <v>460</v>
      </c>
    </row>
    <row r="9">
      <c r="A9" t="n">
        <v>9.5</v>
      </c>
      <c r="B9" t="n">
        <v>483.8</v>
      </c>
      <c r="C9" t="n">
        <v>481.5</v>
      </c>
      <c r="D9" t="n">
        <v>479.3</v>
      </c>
      <c r="E9" t="n">
        <v>477</v>
      </c>
      <c r="F9" t="n">
        <v>474.8</v>
      </c>
    </row>
    <row r="10">
      <c r="A10" t="n">
        <v>10</v>
      </c>
      <c r="B10" t="n">
        <v>498.5</v>
      </c>
      <c r="C10" t="n">
        <v>496.2</v>
      </c>
      <c r="D10" t="n">
        <v>494</v>
      </c>
      <c r="E10" t="n">
        <v>491.7</v>
      </c>
      <c r="F10" t="n">
        <v>489.5</v>
      </c>
    </row>
    <row r="14">
      <c r="A14" t="inlineStr">
        <is>
          <t>List correction (m³/deg)</t>
        </is>
      </c>
      <c r="B14" t="n">
        <v>0.15</v>
      </c>
    </row>
    <row r="16">
      <c r="A16" t="inlineStr">
        <is>
          <t>Tank name</t>
        </is>
      </c>
      <c r="B16" t="inlineStr">
        <is>
          <t>No.1 HFO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BUNKER FUEL CALCULATOR</t>
        </is>
      </c>
    </row>
    <row r="3">
      <c r="A3" t="inlineStr">
        <is>
          <t>Trim (m, by stern +)</t>
        </is>
      </c>
      <c r="B3" s="3" t="n">
        <v>2</v>
      </c>
    </row>
    <row r="4">
      <c r="A4" t="inlineStr">
        <is>
          <t>List (°, stbd +)</t>
        </is>
      </c>
      <c r="B4" s="3" t="n">
        <v>0</v>
      </c>
    </row>
    <row r="5">
      <c r="A5" t="inlineStr">
        <is>
          <t>Density @ 15°C (kg/m³)</t>
        </is>
      </c>
      <c r="B5" s="3" t="n">
        <v>991</v>
      </c>
    </row>
    <row r="7">
      <c r="A7" s="2" t="inlineStr">
        <is>
          <t>Tank</t>
        </is>
      </c>
      <c r="B7" s="2" t="inlineStr">
        <is>
          <t>Sounding (m)</t>
        </is>
      </c>
      <c r="C7" s="2" t="inlineStr">
        <is>
          <t>Temp (°C)</t>
        </is>
      </c>
      <c r="D7" s="2" t="inlineStr">
        <is>
          <t>Obs. vol (m³)</t>
        </is>
      </c>
      <c r="E7" s="2" t="inlineStr">
        <is>
          <t>VCF</t>
        </is>
      </c>
      <c r="F7" s="2" t="inlineStr">
        <is>
          <t>Std vol @ 15°C (m³)</t>
        </is>
      </c>
      <c r="G7" s="2" t="inlineStr">
        <is>
          <t>Mass (MT)</t>
        </is>
      </c>
    </row>
    <row r="8">
      <c r="A8" s="3" t="inlineStr">
        <is>
          <t>No.1 HFO Service</t>
        </is>
      </c>
      <c r="B8" s="3" t="n">
        <v>8.5</v>
      </c>
      <c r="C8" s="3" t="n">
        <v>45</v>
      </c>
      <c r="D8" s="4">
        <f>LET(s,$B8,trim,$B$3,list,$B$4,listCorr,Tank_Table!$B$14,sIdx,MATCH(s,Tank_Table!$A$2:$A$10,1),tIdx,MATCH(trim,Tank_Table!$B$1:$F$1,1),s0,INDEX(Tank_Table!$A$2:$A$10,sIdx),s1,INDEX(Tank_Table!$A$2:$A$10,sIdx+1),t0,INDEX(Tank_Table!$B$1:$F$1,tIdx),t1,INDEX(Tank_Table!$B$1:$F$1,tIdx+1),v00,INDEX(Tank_Table!$B$2:$F$10,sIdx,tIdx),v01,INDEX(Tank_Table!$B$2:$F$10,sIdx,tIdx+1),v10,INDEX(Tank_Table!$B$2:$F$10,sIdx+1,tIdx),v11,INDEX(Tank_Table!$B$2:$F$10,sIdx+1,tIdx+1),vS0,IF(s1=s0,v00,v00+(s-s0)/(s1-s0)*(v10-v00)),vS1,IF(s1=s0,v01,v01+(s-s0)/(s1-s0)*(v11-v01)),obs,IF(t1=t0,vS0,vS0+(trim-t0)/(t1-t0)*(vS1-vS0)),obs+list*listCorr)</f>
        <v/>
      </c>
      <c r="E8" s="4">
        <f>EXP(-613.9723/($B$5^2)*($C8-15))</f>
        <v/>
      </c>
      <c r="F8" s="4">
        <f>D8*E8</f>
        <v/>
      </c>
      <c r="G8" s="4">
        <f>F8*$B$5/1000</f>
        <v/>
      </c>
    </row>
    <row r="9">
      <c r="A9" s="3" t="inlineStr">
        <is>
          <t>No.2 HFO Settling</t>
        </is>
      </c>
      <c r="B9" s="3" t="n">
        <v>7.2</v>
      </c>
      <c r="C9" s="3" t="n">
        <v>42</v>
      </c>
      <c r="D9" s="4">
        <f>LET(s,$B9,trim,$B$3,list,$B$4,listCorr,Tank_Table!$B$14,sIdx,MATCH(s,Tank_Table!$A$2:$A$10,1),tIdx,MATCH(trim,Tank_Table!$B$1:$F$1,1),s0,INDEX(Tank_Table!$A$2:$A$10,sIdx),s1,INDEX(Tank_Table!$A$2:$A$10,sIdx+1),t0,INDEX(Tank_Table!$B$1:$F$1,tIdx),t1,INDEX(Tank_Table!$B$1:$F$1,tIdx+1),v00,INDEX(Tank_Table!$B$2:$F$10,sIdx,tIdx),v01,INDEX(Tank_Table!$B$2:$F$10,sIdx,tIdx+1),v10,INDEX(Tank_Table!$B$2:$F$10,sIdx+1,tIdx),v11,INDEX(Tank_Table!$B$2:$F$10,sIdx+1,tIdx+1),vS0,IF(s1=s0,v00,v00+(s-s0)/(s1-s0)*(v10-v00)),vS1,IF(s1=s0,v01,v01+(s-s0)/(s1-s0)*(v11-v01)),obs,IF(t1=t0,vS0,vS0+(trim-t0)/(t1-t0)*(vS1-vS0)),obs+list*listCorr)</f>
        <v/>
      </c>
      <c r="E9" s="4">
        <f>EXP(-613.9723/($B$5^2)*($C9-15))</f>
        <v/>
      </c>
      <c r="F9" s="4">
        <f>D9*E9</f>
        <v/>
      </c>
      <c r="G9" s="4">
        <f>F9*$B$5/1000</f>
        <v/>
      </c>
    </row>
    <row r="10">
      <c r="A10" s="3" t="inlineStr">
        <is>
          <t>No.3 HFO Storage</t>
        </is>
      </c>
      <c r="B10" s="3" t="n">
        <v>9</v>
      </c>
      <c r="C10" s="3" t="n">
        <v>38</v>
      </c>
      <c r="D10" s="4">
        <f>LET(s,$B10,trim,$B$3,list,$B$4,listCorr,Tank_Table!$B$14,sIdx,MATCH(s,Tank_Table!$A$2:$A$10,1),tIdx,MATCH(trim,Tank_Table!$B$1:$F$1,1),s0,INDEX(Tank_Table!$A$2:$A$10,sIdx),s1,INDEX(Tank_Table!$A$2:$A$10,sIdx+1),t0,INDEX(Tank_Table!$B$1:$F$1,tIdx),t1,INDEX(Tank_Table!$B$1:$F$1,tIdx+1),v00,INDEX(Tank_Table!$B$2:$F$10,sIdx,tIdx),v01,INDEX(Tank_Table!$B$2:$F$10,sIdx,tIdx+1),v10,INDEX(Tank_Table!$B$2:$F$10,sIdx+1,tIdx),v11,INDEX(Tank_Table!$B$2:$F$10,sIdx+1,tIdx+1),vS0,IF(s1=s0,v00,v00+(s-s0)/(s1-s0)*(v10-v00)),vS1,IF(s1=s0,v01,v01+(s-s0)/(s1-s0)*(v11-v01)),obs,IF(t1=t0,vS0,vS0+(trim-t0)/(t1-t0)*(vS1-vS0)),obs+list*listCorr)</f>
        <v/>
      </c>
      <c r="E10" s="4">
        <f>EXP(-613.9723/($B$5^2)*($C10-15))</f>
        <v/>
      </c>
      <c r="F10" s="4">
        <f>D10*E10</f>
        <v/>
      </c>
      <c r="G10" s="4">
        <f>F10*$B$5/1000</f>
        <v/>
      </c>
    </row>
    <row r="11">
      <c r="A11" s="5" t="inlineStr">
        <is>
          <t>TOTAL</t>
        </is>
      </c>
      <c r="D11">
        <f>SUM(D8:D10)</f>
        <v/>
      </c>
      <c r="F11">
        <f>SUM(F8:F10)</f>
        <v/>
      </c>
      <c r="G11" s="5">
        <f>SUM(G8:G10)</f>
        <v/>
      </c>
    </row>
    <row r="20">
      <c r="A20" s="6" t="inlineStr">
        <is>
          <t>Add more tank rows above TOTAL and copy formulas from row 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2026-06-03T02:09:57Z</dcterms:created>
  <dcterms:modified xsi:type="dcterms:W3CDTF">2026-06-03T02:09:57Z</dcterms:modified>
</cp:coreProperties>
</file>